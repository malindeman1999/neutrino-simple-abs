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pl365prod-my.sharepoint.com/personal/mark_a_lindeman_jpl_nasa_gov/Documents/Documents/neutrino/"/>
    </mc:Choice>
  </mc:AlternateContent>
  <xr:revisionPtr revIDLastSave="33" documentId="8_{2CE06A65-07B9-4854-9676-C2C0D0A39068}" xr6:coauthVersionLast="47" xr6:coauthVersionMax="47" xr10:uidLastSave="{B0768F95-5429-4A7C-BD86-C52001D3210A}"/>
  <bookViews>
    <workbookView minimized="1" xWindow="1296" yWindow="1404" windowWidth="14376" windowHeight="9792" xr2:uid="{1F8C9631-E3A8-4EDD-9FFD-210F3E74B3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1" l="1"/>
  <c r="C16" i="1"/>
  <c r="J9" i="1"/>
  <c r="J10" i="1" s="1"/>
  <c r="J8" i="1"/>
  <c r="J4" i="1"/>
  <c r="F5" i="1"/>
  <c r="C4" i="1"/>
  <c r="C5" i="1" s="1"/>
</calcChain>
</file>

<file path=xl/sharedStrings.xml><?xml version="1.0" encoding="utf-8"?>
<sst xmlns="http://schemas.openxmlformats.org/spreadsheetml/2006/main" count="40" uniqueCount="34">
  <si>
    <t>NEP</t>
  </si>
  <si>
    <t>w/RT Hz</t>
  </si>
  <si>
    <t>bandwith</t>
  </si>
  <si>
    <t>Hz</t>
  </si>
  <si>
    <t>e res</t>
  </si>
  <si>
    <t>J</t>
  </si>
  <si>
    <t>eV</t>
  </si>
  <si>
    <t>T</t>
  </si>
  <si>
    <t>Qi</t>
  </si>
  <si>
    <t>alpha</t>
  </si>
  <si>
    <t>df/dT/f</t>
  </si>
  <si>
    <t>Tc</t>
  </si>
  <si>
    <t>fraction</t>
  </si>
  <si>
    <t>Temp</t>
  </si>
  <si>
    <t>df/f</t>
  </si>
  <si>
    <t>gamma</t>
  </si>
  <si>
    <t>(thin film)</t>
  </si>
  <si>
    <t>all Ke</t>
  </si>
  <si>
    <t>2df/f/alpha/gamma*1e4</t>
  </si>
  <si>
    <t>df/f/T</t>
  </si>
  <si>
    <t>alpha=-2*Qi*(dfr/dT/fr)*T</t>
  </si>
  <si>
    <t>low alpha!</t>
  </si>
  <si>
    <t xml:space="preserve">Paper Low Tc Hafnium Kinetic Inductance Device with High Internal Quality Factor </t>
  </si>
  <si>
    <t>dt</t>
  </si>
  <si>
    <t>k</t>
  </si>
  <si>
    <t>fr</t>
  </si>
  <si>
    <t>dfr</t>
  </si>
  <si>
    <t>dfr/dt</t>
  </si>
  <si>
    <t>dfr/dt/fr</t>
  </si>
  <si>
    <t>1/K</t>
  </si>
  <si>
    <t>Hz/K</t>
  </si>
  <si>
    <t>Q</t>
  </si>
  <si>
    <t>not given in aper</t>
  </si>
  <si>
    <t>T= 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</si>
</sst>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88D67-9C86-4241-BAE9-DBB2399D591F}">
  <dimension ref="A1:M19"/>
  <sheetViews>
    <sheetView tabSelected="1" workbookViewId="0">
      <selection activeCell="A12" sqref="A12"/>
    </sheetView>
  </sheetViews>
  <sheetFormatPr defaultRowHeight="14.4" x14ac:dyDescent="0.3"/>
  <cols>
    <col min="1" max="1" width="14.6640625" customWidth="1"/>
    <col min="2" max="2" width="9.21875" bestFit="1" customWidth="1"/>
    <col min="3" max="3" width="14.88671875" customWidth="1"/>
    <col min="5" max="5" width="12.6640625" customWidth="1"/>
    <col min="6" max="6" width="17" customWidth="1"/>
    <col min="9" max="9" width="21.77734375" customWidth="1"/>
  </cols>
  <sheetData>
    <row r="1" spans="1:13" x14ac:dyDescent="0.3">
      <c r="I1" t="s">
        <v>22</v>
      </c>
    </row>
    <row r="2" spans="1:13" x14ac:dyDescent="0.3">
      <c r="A2" t="s">
        <v>0</v>
      </c>
      <c r="B2" t="s">
        <v>1</v>
      </c>
      <c r="C2" s="1">
        <v>1.0000000000000001E-18</v>
      </c>
      <c r="E2" t="s">
        <v>7</v>
      </c>
      <c r="F2">
        <v>0.05</v>
      </c>
      <c r="I2" t="s">
        <v>11</v>
      </c>
      <c r="J2">
        <v>0.25</v>
      </c>
      <c r="K2" t="s">
        <v>9</v>
      </c>
      <c r="L2">
        <v>1</v>
      </c>
      <c r="M2" t="s">
        <v>17</v>
      </c>
    </row>
    <row r="3" spans="1:13" x14ac:dyDescent="0.3">
      <c r="A3" t="s">
        <v>2</v>
      </c>
      <c r="B3" t="s">
        <v>3</v>
      </c>
      <c r="C3">
        <v>400</v>
      </c>
      <c r="E3" t="s">
        <v>8</v>
      </c>
      <c r="F3" s="1">
        <v>3000000</v>
      </c>
      <c r="I3" t="s">
        <v>12</v>
      </c>
      <c r="J3">
        <v>0.2</v>
      </c>
      <c r="K3" t="s">
        <v>15</v>
      </c>
      <c r="L3">
        <v>1</v>
      </c>
      <c r="M3" t="s">
        <v>16</v>
      </c>
    </row>
    <row r="4" spans="1:13" x14ac:dyDescent="0.3">
      <c r="A4" t="s">
        <v>4</v>
      </c>
      <c r="B4" t="s">
        <v>5</v>
      </c>
      <c r="C4" s="1">
        <f>C2/SQRT(C3)</f>
        <v>5.0000000000000005E-20</v>
      </c>
      <c r="E4" t="s">
        <v>10</v>
      </c>
      <c r="F4" s="1">
        <v>1.0000000000000001E-5</v>
      </c>
      <c r="I4" t="s">
        <v>13</v>
      </c>
      <c r="J4">
        <f>J2*J3</f>
        <v>0.05</v>
      </c>
    </row>
    <row r="5" spans="1:13" ht="43.2" x14ac:dyDescent="0.3">
      <c r="A5" t="s">
        <v>4</v>
      </c>
      <c r="B5" t="s">
        <v>6</v>
      </c>
      <c r="C5" s="1">
        <f>C4/1.6E-19</f>
        <v>0.31250000000000006</v>
      </c>
      <c r="E5" s="2" t="s">
        <v>20</v>
      </c>
      <c r="F5" s="1">
        <f>-2*F3*F2*F4</f>
        <v>-3.0000000000000004</v>
      </c>
      <c r="I5" t="s">
        <v>18</v>
      </c>
      <c r="J5">
        <v>-5</v>
      </c>
    </row>
    <row r="6" spans="1:13" x14ac:dyDescent="0.3">
      <c r="I6" t="s">
        <v>8</v>
      </c>
      <c r="J6" s="1">
        <v>100000</v>
      </c>
    </row>
    <row r="8" spans="1:13" x14ac:dyDescent="0.3">
      <c r="I8" t="s">
        <v>14</v>
      </c>
      <c r="J8">
        <f>L2*L3/2/100000</f>
        <v>5.0000000000000004E-6</v>
      </c>
    </row>
    <row r="9" spans="1:13" x14ac:dyDescent="0.3">
      <c r="I9" t="s">
        <v>19</v>
      </c>
      <c r="J9">
        <f>J8/J4</f>
        <v>1E-4</v>
      </c>
    </row>
    <row r="10" spans="1:13" ht="28.8" x14ac:dyDescent="0.3">
      <c r="I10" s="2" t="s">
        <v>20</v>
      </c>
      <c r="J10" s="1">
        <f>2*J6*J9*J4</f>
        <v>1</v>
      </c>
      <c r="L10" t="s">
        <v>21</v>
      </c>
    </row>
    <row r="12" spans="1:13" x14ac:dyDescent="0.3">
      <c r="A12" t="s">
        <v>33</v>
      </c>
    </row>
    <row r="13" spans="1:13" x14ac:dyDescent="0.3">
      <c r="A13" t="s">
        <v>26</v>
      </c>
      <c r="B13" t="s">
        <v>3</v>
      </c>
      <c r="C13" s="1">
        <v>-1000000</v>
      </c>
    </row>
    <row r="14" spans="1:13" x14ac:dyDescent="0.3">
      <c r="A14" t="s">
        <v>23</v>
      </c>
      <c r="B14" t="s">
        <v>24</v>
      </c>
      <c r="C14">
        <v>0.06</v>
      </c>
    </row>
    <row r="15" spans="1:13" x14ac:dyDescent="0.3">
      <c r="A15" t="s">
        <v>25</v>
      </c>
      <c r="B15" t="s">
        <v>3</v>
      </c>
      <c r="C15" s="1">
        <v>4500000000</v>
      </c>
    </row>
    <row r="16" spans="1:13" x14ac:dyDescent="0.3">
      <c r="A16" t="s">
        <v>27</v>
      </c>
      <c r="B16" t="s">
        <v>30</v>
      </c>
      <c r="C16" s="1">
        <f>C13/C14</f>
        <v>-16666666.666666668</v>
      </c>
    </row>
    <row r="17" spans="1:4" x14ac:dyDescent="0.3">
      <c r="A17" t="s">
        <v>28</v>
      </c>
      <c r="B17" t="s">
        <v>29</v>
      </c>
      <c r="C17" s="1">
        <f>C16/C15</f>
        <v>-3.7037037037037038E-3</v>
      </c>
    </row>
    <row r="18" spans="1:4" x14ac:dyDescent="0.3">
      <c r="A18" t="s">
        <v>31</v>
      </c>
      <c r="C18" s="1">
        <v>20000</v>
      </c>
      <c r="D18" t="s">
        <v>32</v>
      </c>
    </row>
    <row r="19" spans="1:4" ht="43.2" x14ac:dyDescent="0.3">
      <c r="A19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JPL ITSD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Lindeman, Mark A (US 365H)</dc:creator>
  <cp:lastModifiedBy>Lindeman, Mark A (US 365H)</cp:lastModifiedBy>
  <dcterms:created xsi:type="dcterms:W3CDTF">2026-05-06T18:58:25Z</dcterms:created>
  <dcterms:modified xsi:type="dcterms:W3CDTF">2026-05-07T21:41:32Z</dcterms:modified>
</cp:coreProperties>
</file>